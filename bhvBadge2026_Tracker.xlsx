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eb/Documents/Dev/badgeDev/bhvBadge2026/"/>
    </mc:Choice>
  </mc:AlternateContent>
  <xr:revisionPtr revIDLastSave="0" documentId="13_ncr:1_{261F26AB-1645-CD4C-A767-84BD263CD940}" xr6:coauthVersionLast="47" xr6:coauthVersionMax="47" xr10:uidLastSave="{00000000-0000-0000-0000-000000000000}"/>
  <bookViews>
    <workbookView xWindow="18000" yWindow="880" windowWidth="18000" windowHeight="21420" xr2:uid="{2A17F43D-CD83-D748-B2FB-FE2E90F2EF2C}"/>
  </bookViews>
  <sheets>
    <sheet name="Schedule" sheetId="1" r:id="rId1"/>
    <sheet name="Expens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/>
  <c r="B11" i="1"/>
  <c r="D11" i="1" s="1"/>
  <c r="D4" i="1"/>
  <c r="C10" i="1" l="1"/>
  <c r="B10" i="1" s="1"/>
  <c r="C9" i="1" s="1"/>
  <c r="D10" i="1" l="1"/>
  <c r="B9" i="1"/>
  <c r="C8" i="1" s="1"/>
  <c r="B8" i="1" l="1"/>
  <c r="C7" i="1" s="1"/>
  <c r="D9" i="1"/>
  <c r="D8" i="1" l="1"/>
  <c r="B7" i="1"/>
  <c r="D7" i="1" l="1"/>
  <c r="C3" i="1"/>
  <c r="B3" i="1" l="1"/>
  <c r="C2" i="1" s="1"/>
  <c r="B2" i="1" s="1"/>
  <c r="D2" i="1" s="1"/>
  <c r="D3" i="1"/>
</calcChain>
</file>

<file path=xl/sharedStrings.xml><?xml version="1.0" encoding="utf-8"?>
<sst xmlns="http://schemas.openxmlformats.org/spreadsheetml/2006/main" count="25" uniqueCount="18">
  <si>
    <t>Activity</t>
  </si>
  <si>
    <t>Start Date</t>
  </si>
  <si>
    <t>End Date</t>
  </si>
  <si>
    <t>Duration</t>
  </si>
  <si>
    <t>Hardware Design</t>
  </si>
  <si>
    <t>Procure Parts</t>
  </si>
  <si>
    <t>Firmware Redesign</t>
  </si>
  <si>
    <t>Fabrication</t>
  </si>
  <si>
    <t>Assembly</t>
  </si>
  <si>
    <t>Shipping</t>
  </si>
  <si>
    <t>Testing</t>
  </si>
  <si>
    <t>3D Print Design</t>
  </si>
  <si>
    <t>Programming+Assembly</t>
  </si>
  <si>
    <t>3D Printing</t>
  </si>
  <si>
    <t>Assignee</t>
  </si>
  <si>
    <t>Caleb</t>
  </si>
  <si>
    <t>Nate</t>
  </si>
  <si>
    <t>Dallas Crew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</si>
</sst>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-F800]dddd\,\ mmmm\ dd\,\ yyyy"/>
    </dxf>
    <dxf>
      <numFmt numFmtId="164" formatCode="[$-F800]dddd\,\ mmmm\ dd\,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F6BC90-5B02-324F-BED0-8DA5634E1386}" name="Table1" displayName="Table1" ref="A1:E11" totalsRowShown="0">
  <autoFilter ref="A1:E11" xr:uid="{49F6BC90-5B02-324F-BED0-8DA5634E1386}"/>
  <tableColumns count="5">
    <tableColumn id="1" xr3:uid="{533E59D4-4D71-C147-B173-CFB549F4CDF2}" name="Activity"/>
    <tableColumn id="2" xr3:uid="{01B8B143-089A-1148-8457-81FB0464B055}" name="Start Date" dataDxfId="1"/>
    <tableColumn id="3" xr3:uid="{8A065095-F6F0-6A47-93C6-DFBF794C8AE6}" name="End Date" dataDxfId="0"/>
    <tableColumn id="4" xr3:uid="{0636CB55-E36A-6B4E-A35B-27D8AFACE6B8}" name="Duration">
      <calculatedColumnFormula>C2-B2</calculatedColumnFormula>
    </tableColumn>
    <tableColumn id="5" xr3:uid="{FDC6B1B0-CDA9-6B42-A8F0-CCF0729AF761}" name="Assigne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FDDC-18BA-FD40-8753-72934925D033}">
  <dimension ref="A1:E11"/>
  <sheetViews>
    <sheetView tabSelected="1" zoomScale="150" workbookViewId="0">
      <selection activeCell="B19" sqref="B19"/>
    </sheetView>
  </sheetViews>
  <sheetFormatPr baseColWidth="10" defaultRowHeight="16" x14ac:dyDescent="0.2"/>
  <cols>
    <col min="1" max="1" width="20.6640625" bestFit="1" customWidth="1"/>
    <col min="2" max="3" width="23.83203125" bestFit="1" customWidth="1"/>
  </cols>
  <sheetData>
    <row r="1" spans="1:5" x14ac:dyDescent="0.2">
      <c r="A1" t="s">
        <v>0</v>
      </c>
      <c r="B1" s="1" t="s">
        <v>1</v>
      </c>
      <c r="C1" s="1" t="s">
        <v>2</v>
      </c>
      <c r="D1" t="s">
        <v>3</v>
      </c>
      <c r="E1" t="s">
        <v>14</v>
      </c>
    </row>
    <row r="2" spans="1:5" x14ac:dyDescent="0.2">
      <c r="A2" t="s">
        <v>4</v>
      </c>
      <c r="B2" s="1">
        <f>C2-7</f>
        <v>46149</v>
      </c>
      <c r="C2" s="1">
        <f t="shared" ref="C2:C8" si="0">WORKDAY(B3,-1)</f>
        <v>46156</v>
      </c>
      <c r="D2">
        <f t="shared" ref="D2:D10" si="1">C2-B2</f>
        <v>7</v>
      </c>
      <c r="E2" t="s">
        <v>15</v>
      </c>
    </row>
    <row r="3" spans="1:5" x14ac:dyDescent="0.2">
      <c r="A3" t="s">
        <v>5</v>
      </c>
      <c r="B3" s="1">
        <f>C3-14</f>
        <v>46157</v>
      </c>
      <c r="C3" s="1">
        <f>WORKDAY(B7,-1)</f>
        <v>46171</v>
      </c>
      <c r="D3">
        <f t="shared" si="1"/>
        <v>14</v>
      </c>
      <c r="E3" t="s">
        <v>15</v>
      </c>
    </row>
    <row r="4" spans="1:5" x14ac:dyDescent="0.2">
      <c r="A4" t="s">
        <v>6</v>
      </c>
      <c r="B4" s="1">
        <v>46090</v>
      </c>
      <c r="C4" s="1">
        <v>46150</v>
      </c>
      <c r="D4">
        <f t="shared" si="1"/>
        <v>60</v>
      </c>
      <c r="E4" t="s">
        <v>15</v>
      </c>
    </row>
    <row r="5" spans="1:5" x14ac:dyDescent="0.2">
      <c r="A5" t="s">
        <v>11</v>
      </c>
      <c r="B5" s="1"/>
      <c r="C5" s="1"/>
      <c r="D5">
        <f>C5-B5</f>
        <v>0</v>
      </c>
      <c r="E5" t="s">
        <v>16</v>
      </c>
    </row>
    <row r="6" spans="1:5" x14ac:dyDescent="0.2">
      <c r="A6" t="s">
        <v>13</v>
      </c>
      <c r="B6" s="1"/>
      <c r="C6" s="1"/>
      <c r="D6">
        <f>C6-B6</f>
        <v>0</v>
      </c>
      <c r="E6" t="s">
        <v>16</v>
      </c>
    </row>
    <row r="7" spans="1:5" x14ac:dyDescent="0.2">
      <c r="A7" t="s">
        <v>7</v>
      </c>
      <c r="B7" s="1">
        <f>C7-14</f>
        <v>46174</v>
      </c>
      <c r="C7" s="1">
        <f t="shared" si="0"/>
        <v>46188</v>
      </c>
      <c r="D7">
        <f t="shared" si="1"/>
        <v>14</v>
      </c>
      <c r="E7" t="s">
        <v>15</v>
      </c>
    </row>
    <row r="8" spans="1:5" x14ac:dyDescent="0.2">
      <c r="A8" t="s">
        <v>8</v>
      </c>
      <c r="B8" s="1">
        <f>C8-21</f>
        <v>46189</v>
      </c>
      <c r="C8" s="1">
        <f t="shared" si="0"/>
        <v>46210</v>
      </c>
      <c r="D8">
        <f t="shared" si="1"/>
        <v>21</v>
      </c>
      <c r="E8" t="s">
        <v>15</v>
      </c>
    </row>
    <row r="9" spans="1:5" x14ac:dyDescent="0.2">
      <c r="A9" t="s">
        <v>9</v>
      </c>
      <c r="B9" s="1">
        <f>C9-7</f>
        <v>46211</v>
      </c>
      <c r="C9" s="1">
        <f>WORKDAY(B10,-1)</f>
        <v>46218</v>
      </c>
      <c r="D9">
        <f t="shared" si="1"/>
        <v>7</v>
      </c>
      <c r="E9" t="s">
        <v>15</v>
      </c>
    </row>
    <row r="10" spans="1:5" x14ac:dyDescent="0.2">
      <c r="A10" t="s">
        <v>10</v>
      </c>
      <c r="B10" s="1">
        <f>C10-7</f>
        <v>46219</v>
      </c>
      <c r="C10" s="1">
        <f>WORKDAY(B11,-1)</f>
        <v>46226</v>
      </c>
      <c r="D10">
        <f t="shared" si="1"/>
        <v>7</v>
      </c>
      <c r="E10" t="s">
        <v>15</v>
      </c>
    </row>
    <row r="11" spans="1:5" x14ac:dyDescent="0.2">
      <c r="A11" t="s">
        <v>12</v>
      </c>
      <c r="B11" s="1">
        <f>C11-7</f>
        <v>46227</v>
      </c>
      <c r="C11" s="1">
        <v>46234</v>
      </c>
      <c r="D11">
        <f>C11-B11</f>
        <v>7</v>
      </c>
      <c r="E11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943E5-7F6D-E74D-986F-8F399DAB8BA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Davis</dc:creator>
  <cp:lastModifiedBy>Caleb Davis</cp:lastModifiedBy>
  <dcterms:created xsi:type="dcterms:W3CDTF">2026-03-06T21:44:31Z</dcterms:created>
  <dcterms:modified xsi:type="dcterms:W3CDTF">2026-03-07T01:56:19Z</dcterms:modified>
</cp:coreProperties>
</file>